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kasus\Desktop\pythonapps\calculator_work\"/>
    </mc:Choice>
  </mc:AlternateContent>
  <xr:revisionPtr revIDLastSave="0" documentId="13_ncr:1_{5F9A7A19-D3D5-43D3-9EA5-716529724A79}" xr6:coauthVersionLast="47" xr6:coauthVersionMax="47" xr10:uidLastSave="{00000000-0000-0000-0000-000000000000}"/>
  <bookViews>
    <workbookView xWindow="0" yWindow="3285" windowWidth="23325" windowHeight="11385" xr2:uid="{00000000-000D-0000-FFFF-FFFF00000000}"/>
  </bookViews>
  <sheets>
    <sheet name="Лист1" sheetId="1" r:id="rId1"/>
  </sheets>
  <definedNames>
    <definedName name="_xlnm._FilterDatabase" localSheetId="0" hidden="1">Лист1!$A$1:$L$17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" i="1" l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<sst xmlns="http://schemas.openxmlformats.org/spreadsheetml/2006/main" count="124" uniqueCount="25">
  <si>
    <t>Country of discharge</t>
  </si>
  <si>
    <t>POD</t>
  </si>
  <si>
    <t>POL</t>
  </si>
  <si>
    <t>shipping line</t>
  </si>
  <si>
    <t>drop off place</t>
  </si>
  <si>
    <t>china</t>
  </si>
  <si>
    <t>ningbo</t>
  </si>
  <si>
    <t>PPK-1</t>
  </si>
  <si>
    <t>neco</t>
  </si>
  <si>
    <t>moscow</t>
  </si>
  <si>
    <t>VMTP</t>
  </si>
  <si>
    <t>fesco</t>
  </si>
  <si>
    <t>shanghai</t>
  </si>
  <si>
    <t>nansha</t>
  </si>
  <si>
    <t>qingdao</t>
  </si>
  <si>
    <t>20dc</t>
  </si>
  <si>
    <t>40hq</t>
  </si>
  <si>
    <t>container</t>
  </si>
  <si>
    <t>validity</t>
  </si>
  <si>
    <t>railway(rub)</t>
  </si>
  <si>
    <t>freight(usd)</t>
  </si>
  <si>
    <t>25 nov</t>
  </si>
  <si>
    <t>Курс валют</t>
  </si>
  <si>
    <t>unloading(rub)</t>
  </si>
  <si>
    <t>total(usd)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</si>
</sst>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16" fontId="0" fillId="0" borderId="1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tabSelected="1" topLeftCell="C1" workbookViewId="0">
      <selection activeCell="K18" sqref="K18"/>
    </sheetView>
  </sheetViews>
  <sheetFormatPr defaultRowHeight="15" x14ac:dyDescent="0.25"/>
  <cols>
    <col min="1" max="1" width="17.42578125" customWidth="1"/>
    <col min="2" max="2" width="13.7109375" customWidth="1"/>
    <col min="3" max="3" width="12.5703125" customWidth="1"/>
    <col min="4" max="4" width="11" customWidth="1"/>
    <col min="5" max="5" width="14.140625" customWidth="1"/>
    <col min="6" max="6" width="12.28515625" customWidth="1"/>
    <col min="7" max="7" width="16.28515625" customWidth="1"/>
    <col min="8" max="8" width="10.28515625" customWidth="1"/>
    <col min="9" max="9" width="18.5703125" customWidth="1"/>
    <col min="10" max="10" width="13" customWidth="1"/>
    <col min="11" max="11" width="17.85546875" customWidth="1"/>
    <col min="12" max="12" width="17.7109375" customWidth="1"/>
    <col min="15" max="15" width="14" customWidth="1"/>
  </cols>
  <sheetData>
    <row r="1" spans="1:16" x14ac:dyDescent="0.25">
      <c r="A1" s="1" t="s">
        <v>0</v>
      </c>
      <c r="B1" s="1" t="s">
        <v>2</v>
      </c>
      <c r="C1" s="1" t="s">
        <v>1</v>
      </c>
      <c r="D1" s="1" t="s">
        <v>17</v>
      </c>
      <c r="E1" s="1" t="s">
        <v>19</v>
      </c>
      <c r="F1" s="1" t="s">
        <v>20</v>
      </c>
      <c r="G1" s="1" t="s">
        <v>23</v>
      </c>
      <c r="H1" s="1" t="s">
        <v>3</v>
      </c>
      <c r="I1" s="1" t="s">
        <v>4</v>
      </c>
      <c r="J1" s="3" t="s">
        <v>18</v>
      </c>
      <c r="K1" s="3" t="s">
        <v>24</v>
      </c>
    </row>
    <row r="2" spans="1:16" x14ac:dyDescent="0.25">
      <c r="A2" s="2" t="s">
        <v>5</v>
      </c>
      <c r="B2" s="2" t="s">
        <v>6</v>
      </c>
      <c r="C2" s="2" t="s">
        <v>7</v>
      </c>
      <c r="D2" s="2" t="s">
        <v>15</v>
      </c>
      <c r="E2" s="2">
        <v>210000</v>
      </c>
      <c r="F2" s="2">
        <v>2200</v>
      </c>
      <c r="G2" s="2">
        <v>22000</v>
      </c>
      <c r="H2" s="2" t="s">
        <v>8</v>
      </c>
      <c r="I2" s="2" t="s">
        <v>9</v>
      </c>
      <c r="J2" s="4" t="s">
        <v>21</v>
      </c>
      <c r="K2" s="2">
        <f>ROUND((E2 + G2) / P3 + F2, 1)</f>
        <v>4543.3999999999996</v>
      </c>
    </row>
    <row r="3" spans="1:16" x14ac:dyDescent="0.25">
      <c r="A3" s="2" t="s">
        <v>5</v>
      </c>
      <c r="B3" s="2" t="s">
        <v>6</v>
      </c>
      <c r="C3" s="2" t="s">
        <v>10</v>
      </c>
      <c r="D3" s="2" t="s">
        <v>15</v>
      </c>
      <c r="E3" s="2">
        <v>190000</v>
      </c>
      <c r="F3" s="2">
        <v>2400</v>
      </c>
      <c r="G3" s="2">
        <v>13500</v>
      </c>
      <c r="H3" s="2" t="s">
        <v>11</v>
      </c>
      <c r="I3" s="2" t="s">
        <v>9</v>
      </c>
      <c r="J3" s="4" t="s">
        <v>21</v>
      </c>
      <c r="K3" s="2">
        <f>ROUND((E3 + G3) / P3 + F3, 1)</f>
        <v>4455.6000000000004</v>
      </c>
      <c r="O3" t="s">
        <v>22</v>
      </c>
      <c r="P3">
        <v>99</v>
      </c>
    </row>
    <row r="4" spans="1:16" x14ac:dyDescent="0.25">
      <c r="A4" s="2" t="s">
        <v>5</v>
      </c>
      <c r="B4" s="2" t="s">
        <v>12</v>
      </c>
      <c r="C4" s="2" t="s">
        <v>7</v>
      </c>
      <c r="D4" s="2" t="s">
        <v>15</v>
      </c>
      <c r="E4" s="2">
        <v>210000</v>
      </c>
      <c r="F4" s="2">
        <v>2300</v>
      </c>
      <c r="G4" s="2">
        <v>22000</v>
      </c>
      <c r="H4" s="2" t="s">
        <v>8</v>
      </c>
      <c r="I4" s="2" t="s">
        <v>9</v>
      </c>
      <c r="J4" s="4" t="s">
        <v>21</v>
      </c>
      <c r="K4" s="2">
        <f>ROUND((E4 + G4) / P3 + F4, 1)</f>
        <v>4643.3999999999996</v>
      </c>
    </row>
    <row r="5" spans="1:16" x14ac:dyDescent="0.25">
      <c r="A5" s="2" t="s">
        <v>5</v>
      </c>
      <c r="B5" s="2" t="s">
        <v>12</v>
      </c>
      <c r="C5" s="2" t="s">
        <v>10</v>
      </c>
      <c r="D5" s="2" t="s">
        <v>15</v>
      </c>
      <c r="E5" s="2">
        <v>190000</v>
      </c>
      <c r="F5" s="2">
        <v>2500</v>
      </c>
      <c r="G5" s="2">
        <v>13500</v>
      </c>
      <c r="H5" s="2" t="s">
        <v>11</v>
      </c>
      <c r="I5" s="2" t="s">
        <v>9</v>
      </c>
      <c r="J5" s="4" t="s">
        <v>21</v>
      </c>
      <c r="K5" s="2">
        <f>ROUND((E5 + G5) / P3 + F5, 1)</f>
        <v>4555.6000000000004</v>
      </c>
    </row>
    <row r="6" spans="1:16" x14ac:dyDescent="0.25">
      <c r="A6" s="2" t="s">
        <v>5</v>
      </c>
      <c r="B6" s="2" t="s">
        <v>13</v>
      </c>
      <c r="C6" s="2" t="s">
        <v>7</v>
      </c>
      <c r="D6" s="2" t="s">
        <v>15</v>
      </c>
      <c r="E6" s="2">
        <v>210000</v>
      </c>
      <c r="F6" s="2">
        <v>2650</v>
      </c>
      <c r="G6" s="2">
        <v>22000</v>
      </c>
      <c r="H6" s="2" t="s">
        <v>8</v>
      </c>
      <c r="I6" s="2" t="s">
        <v>9</v>
      </c>
      <c r="J6" s="4" t="s">
        <v>21</v>
      </c>
      <c r="K6" s="2">
        <f>ROUND((E6 + G6) / P3 + F6, 1)</f>
        <v>4993.3999999999996</v>
      </c>
    </row>
    <row r="7" spans="1:16" x14ac:dyDescent="0.25">
      <c r="A7" s="2" t="s">
        <v>5</v>
      </c>
      <c r="B7" s="2" t="s">
        <v>13</v>
      </c>
      <c r="C7" s="2" t="s">
        <v>10</v>
      </c>
      <c r="D7" s="2" t="s">
        <v>15</v>
      </c>
      <c r="E7" s="2">
        <v>190000</v>
      </c>
      <c r="F7" s="2">
        <v>2750</v>
      </c>
      <c r="G7" s="2">
        <v>13500</v>
      </c>
      <c r="H7" s="2" t="s">
        <v>11</v>
      </c>
      <c r="I7" s="2" t="s">
        <v>9</v>
      </c>
      <c r="J7" s="4" t="s">
        <v>21</v>
      </c>
      <c r="K7" s="2">
        <f>ROUND((E7 + G7) / P3 + F7, 1)</f>
        <v>4805.6000000000004</v>
      </c>
    </row>
    <row r="8" spans="1:16" x14ac:dyDescent="0.25">
      <c r="A8" s="2" t="s">
        <v>5</v>
      </c>
      <c r="B8" s="2" t="s">
        <v>14</v>
      </c>
      <c r="C8" s="2" t="s">
        <v>7</v>
      </c>
      <c r="D8" s="2" t="s">
        <v>15</v>
      </c>
      <c r="E8" s="2">
        <v>210000</v>
      </c>
      <c r="F8" s="2">
        <v>2150</v>
      </c>
      <c r="G8" s="2">
        <v>22000</v>
      </c>
      <c r="H8" s="2" t="s">
        <v>8</v>
      </c>
      <c r="I8" s="2" t="s">
        <v>9</v>
      </c>
      <c r="J8" s="4" t="s">
        <v>21</v>
      </c>
      <c r="K8" s="2">
        <f>ROUND((E8 + G8) / P3 + F8, 1)</f>
        <v>4493.3999999999996</v>
      </c>
    </row>
    <row r="9" spans="1:16" x14ac:dyDescent="0.25">
      <c r="A9" s="2" t="s">
        <v>5</v>
      </c>
      <c r="B9" s="2" t="s">
        <v>14</v>
      </c>
      <c r="C9" s="2" t="s">
        <v>10</v>
      </c>
      <c r="D9" s="2" t="s">
        <v>15</v>
      </c>
      <c r="E9" s="2">
        <v>190000</v>
      </c>
      <c r="F9" s="2">
        <v>2450</v>
      </c>
      <c r="G9" s="2">
        <v>13500</v>
      </c>
      <c r="H9" s="2" t="s">
        <v>11</v>
      </c>
      <c r="I9" s="2" t="s">
        <v>9</v>
      </c>
      <c r="J9" s="4" t="s">
        <v>21</v>
      </c>
      <c r="K9" s="2">
        <f>ROUND((E9 + G9) / P3 + F9, 1)</f>
        <v>4505.6000000000004</v>
      </c>
    </row>
    <row r="10" spans="1:16" x14ac:dyDescent="0.25">
      <c r="A10" s="2" t="s">
        <v>5</v>
      </c>
      <c r="B10" s="2" t="s">
        <v>6</v>
      </c>
      <c r="C10" s="2" t="s">
        <v>7</v>
      </c>
      <c r="D10" s="2" t="s">
        <v>16</v>
      </c>
      <c r="E10" s="2">
        <v>355000</v>
      </c>
      <c r="F10" s="2">
        <v>4200</v>
      </c>
      <c r="G10" s="2">
        <v>22000</v>
      </c>
      <c r="H10" s="2" t="s">
        <v>8</v>
      </c>
      <c r="I10" s="2" t="s">
        <v>9</v>
      </c>
      <c r="J10" s="4" t="s">
        <v>21</v>
      </c>
      <c r="K10" s="2">
        <f>ROUND((E10 + G10) / P3 + F10, 1)</f>
        <v>8008.1</v>
      </c>
    </row>
    <row r="11" spans="1:16" x14ac:dyDescent="0.25">
      <c r="A11" s="2" t="s">
        <v>5</v>
      </c>
      <c r="B11" s="2" t="s">
        <v>6</v>
      </c>
      <c r="C11" s="2" t="s">
        <v>10</v>
      </c>
      <c r="D11" s="2" t="s">
        <v>16</v>
      </c>
      <c r="E11" s="2">
        <v>420000</v>
      </c>
      <c r="F11" s="2">
        <v>4400</v>
      </c>
      <c r="G11" s="2">
        <v>13500</v>
      </c>
      <c r="H11" s="2" t="s">
        <v>11</v>
      </c>
      <c r="I11" s="2" t="s">
        <v>9</v>
      </c>
      <c r="J11" s="4" t="s">
        <v>21</v>
      </c>
      <c r="K11" s="2">
        <f>ROUND((E11 + G11) / P3 + F11, 1)</f>
        <v>8778.7999999999993</v>
      </c>
    </row>
    <row r="12" spans="1:16" x14ac:dyDescent="0.25">
      <c r="A12" s="2" t="s">
        <v>5</v>
      </c>
      <c r="B12" s="2" t="s">
        <v>12</v>
      </c>
      <c r="C12" s="2" t="s">
        <v>7</v>
      </c>
      <c r="D12" s="2" t="s">
        <v>16</v>
      </c>
      <c r="E12" s="2">
        <v>355000</v>
      </c>
      <c r="F12" s="2">
        <v>4100</v>
      </c>
      <c r="G12" s="2">
        <v>22000</v>
      </c>
      <c r="H12" s="2" t="s">
        <v>8</v>
      </c>
      <c r="I12" s="2" t="s">
        <v>9</v>
      </c>
      <c r="J12" s="4" t="s">
        <v>21</v>
      </c>
      <c r="K12" s="2">
        <f>ROUND((E12 + G12) / P3 + F12, 1)</f>
        <v>7908.1</v>
      </c>
    </row>
    <row r="13" spans="1:16" x14ac:dyDescent="0.25">
      <c r="A13" s="2" t="s">
        <v>5</v>
      </c>
      <c r="B13" s="2" t="s">
        <v>12</v>
      </c>
      <c r="C13" s="2" t="s">
        <v>10</v>
      </c>
      <c r="D13" s="2" t="s">
        <v>16</v>
      </c>
      <c r="E13" s="2">
        <v>420000</v>
      </c>
      <c r="F13" s="2">
        <v>4400</v>
      </c>
      <c r="G13" s="2">
        <v>13500</v>
      </c>
      <c r="H13" s="2" t="s">
        <v>11</v>
      </c>
      <c r="I13" s="2" t="s">
        <v>9</v>
      </c>
      <c r="J13" s="4" t="s">
        <v>21</v>
      </c>
      <c r="K13" s="2">
        <f>ROUND((E13 + G13) / P3 + F13, 1)</f>
        <v>8778.7999999999993</v>
      </c>
    </row>
    <row r="14" spans="1:16" x14ac:dyDescent="0.25">
      <c r="A14" s="2" t="s">
        <v>5</v>
      </c>
      <c r="B14" s="2" t="s">
        <v>13</v>
      </c>
      <c r="C14" s="2" t="s">
        <v>7</v>
      </c>
      <c r="D14" s="2" t="s">
        <v>16</v>
      </c>
      <c r="E14" s="2">
        <v>355000</v>
      </c>
      <c r="F14" s="2">
        <v>4550</v>
      </c>
      <c r="G14" s="2">
        <v>22000</v>
      </c>
      <c r="H14" s="2" t="s">
        <v>8</v>
      </c>
      <c r="I14" s="2" t="s">
        <v>9</v>
      </c>
      <c r="J14" s="4" t="s">
        <v>21</v>
      </c>
      <c r="K14" s="2">
        <f>ROUND((E14 + G14) / P3 + F14, 1)</f>
        <v>8358.1</v>
      </c>
    </row>
    <row r="15" spans="1:16" x14ac:dyDescent="0.25">
      <c r="A15" s="2" t="s">
        <v>5</v>
      </c>
      <c r="B15" s="2" t="s">
        <v>13</v>
      </c>
      <c r="C15" s="2" t="s">
        <v>10</v>
      </c>
      <c r="D15" s="2" t="s">
        <v>16</v>
      </c>
      <c r="E15" s="2">
        <v>420000</v>
      </c>
      <c r="F15" s="2">
        <v>4650</v>
      </c>
      <c r="G15" s="2">
        <v>13500</v>
      </c>
      <c r="H15" s="2" t="s">
        <v>11</v>
      </c>
      <c r="I15" s="2" t="s">
        <v>9</v>
      </c>
      <c r="J15" s="4" t="s">
        <v>21</v>
      </c>
      <c r="K15" s="2">
        <f>ROUND((E15 + G15) / P3 + F15, 1)</f>
        <v>9028.7999999999993</v>
      </c>
    </row>
    <row r="16" spans="1:16" x14ac:dyDescent="0.25">
      <c r="A16" s="2" t="s">
        <v>5</v>
      </c>
      <c r="B16" s="2" t="s">
        <v>14</v>
      </c>
      <c r="C16" s="2" t="s">
        <v>7</v>
      </c>
      <c r="D16" s="2" t="s">
        <v>16</v>
      </c>
      <c r="E16" s="2">
        <v>355000</v>
      </c>
      <c r="F16" s="2">
        <v>4250</v>
      </c>
      <c r="G16" s="2">
        <v>22000</v>
      </c>
      <c r="H16" s="2" t="s">
        <v>8</v>
      </c>
      <c r="I16" s="2" t="s">
        <v>9</v>
      </c>
      <c r="J16" s="4" t="s">
        <v>21</v>
      </c>
      <c r="K16" s="2">
        <f>ROUND((E16 + G16) / P3 + F16, 1)</f>
        <v>8058.1</v>
      </c>
    </row>
    <row r="17" spans="1:11" x14ac:dyDescent="0.25">
      <c r="A17" s="2" t="s">
        <v>5</v>
      </c>
      <c r="B17" s="2" t="s">
        <v>14</v>
      </c>
      <c r="C17" s="2" t="s">
        <v>10</v>
      </c>
      <c r="D17" s="2" t="s">
        <v>16</v>
      </c>
      <c r="E17" s="2">
        <v>420000</v>
      </c>
      <c r="F17" s="2">
        <v>4420</v>
      </c>
      <c r="G17" s="2">
        <v>13500</v>
      </c>
      <c r="H17" s="2" t="s">
        <v>11</v>
      </c>
      <c r="I17" s="2" t="s">
        <v>9</v>
      </c>
      <c r="J17" s="4" t="s">
        <v>21</v>
      </c>
      <c r="K17" s="2">
        <f>ROUND((E17 + G17) / P3 + F17, 1)</f>
        <v>8798.7999999999993</v>
      </c>
    </row>
    <row r="18" spans="1:11" x14ac:dyDescent="0.25">
      <c r="K18" s="2"/>
    </row>
  </sheetData>
  <autoFilter ref="A1:L17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Игорь Уваров</dc:creator>
  <cp:lastModifiedBy>Игорь Уваров</cp:lastModifiedBy>
  <dcterms:created xsi:type="dcterms:W3CDTF">2015-06-05T18:19:34Z</dcterms:created>
  <dcterms:modified xsi:type="dcterms:W3CDTF">2024-11-10T16:37:21Z</dcterms:modified>
</cp:coreProperties>
</file>